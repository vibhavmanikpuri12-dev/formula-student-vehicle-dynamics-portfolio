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bha\Downloads\"/>
    </mc:Choice>
  </mc:AlternateContent>
  <xr:revisionPtr revIDLastSave="0" documentId="8_{C8B842CE-0597-45DE-AD8D-35F4CE05C80D}" xr6:coauthVersionLast="47" xr6:coauthVersionMax="47" xr10:uidLastSave="{00000000-0000-0000-0000-000000000000}"/>
  <bookViews>
    <workbookView xWindow="-108" yWindow="-108" windowWidth="23256" windowHeight="12456" xr2:uid="{1AE52EAB-CBF1-4BD8-96E6-53595EBAE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4" i="1"/>
  <c r="K14" i="1" s="1"/>
  <c r="D14" i="1" l="1"/>
  <c r="E14" i="1" s="1"/>
  <c r="D13" i="1"/>
  <c r="E13" i="1" s="1"/>
  <c r="C30" i="1"/>
  <c r="C22" i="1"/>
  <c r="C23" i="1" s="1"/>
  <c r="C25" i="1" s="1"/>
  <c r="E15" i="1"/>
  <c r="E17" i="1" s="1"/>
  <c r="E19" i="1" s="1"/>
  <c r="E21" i="1" s="1"/>
  <c r="D15" i="1"/>
  <c r="D17" i="1" s="1"/>
  <c r="D19" i="1" s="1"/>
  <c r="D21" i="1" s="1"/>
  <c r="L14" i="1" l="1"/>
  <c r="K13" i="1"/>
  <c r="K15" i="1"/>
  <c r="L13" i="1"/>
  <c r="L15" i="1"/>
  <c r="C26" i="1"/>
  <c r="D27" i="1"/>
  <c r="E27" i="1"/>
  <c r="D30" i="1"/>
  <c r="D31" i="1" s="1"/>
  <c r="L20" i="1" l="1"/>
  <c r="L17" i="1"/>
  <c r="L16" i="1"/>
  <c r="L19" i="1"/>
  <c r="L18" i="1"/>
  <c r="K20" i="1"/>
  <c r="K17" i="1"/>
  <c r="K19" i="1"/>
  <c r="K16" i="1"/>
  <c r="K18" i="1"/>
  <c r="E30" i="1"/>
  <c r="D32" i="1"/>
  <c r="D33" i="1" s="1"/>
  <c r="D34" i="1" s="1"/>
  <c r="D35" i="1" s="1"/>
  <c r="C28" i="1"/>
  <c r="C29" i="1" s="1"/>
  <c r="D49" i="1" l="1"/>
  <c r="E32" i="1"/>
  <c r="E49" i="1" s="1"/>
  <c r="D36" i="1"/>
  <c r="D37" i="1" s="1"/>
  <c r="D38" i="1" s="1"/>
  <c r="D40" i="1" s="1"/>
  <c r="D43" i="1"/>
  <c r="D45" i="1" s="1"/>
  <c r="D46" i="1" s="1"/>
  <c r="D47" i="1" s="1"/>
  <c r="D48" i="1" s="1"/>
  <c r="O14" i="1" l="1"/>
  <c r="O13" i="1"/>
  <c r="O15" i="1" s="1"/>
  <c r="D50" i="1"/>
  <c r="E50" i="1" s="1"/>
  <c r="N14" i="1"/>
  <c r="N13" i="1"/>
  <c r="E33" i="1"/>
  <c r="D39" i="1"/>
  <c r="N17" i="1" l="1"/>
  <c r="N19" i="1"/>
  <c r="N18" i="1"/>
  <c r="N15" i="1"/>
  <c r="N20" i="1"/>
  <c r="N16" i="1"/>
  <c r="O20" i="1"/>
  <c r="O17" i="1"/>
  <c r="O19" i="1"/>
  <c r="O16" i="1"/>
  <c r="O18" i="1"/>
  <c r="E43" i="1"/>
  <c r="E45" i="1" s="1"/>
  <c r="E46" i="1" s="1"/>
  <c r="E47" i="1" s="1"/>
  <c r="E48" i="1" s="1"/>
  <c r="E34" i="1"/>
  <c r="E35" i="1" s="1"/>
  <c r="E36" i="1" s="1"/>
  <c r="E37" i="1" s="1"/>
  <c r="E38" i="1" s="1"/>
  <c r="E40" i="1" s="1"/>
  <c r="E39" i="1" l="1"/>
</calcChain>
</file>

<file path=xl/sharedStrings.xml><?xml version="1.0" encoding="utf-8"?>
<sst xmlns="http://schemas.openxmlformats.org/spreadsheetml/2006/main" count="106" uniqueCount="71">
  <si>
    <t>S.No</t>
  </si>
  <si>
    <t>Parameters</t>
  </si>
  <si>
    <t>Units</t>
  </si>
  <si>
    <t>Front</t>
  </si>
  <si>
    <t>Rear</t>
  </si>
  <si>
    <t>Hz</t>
  </si>
  <si>
    <t>Values</t>
  </si>
  <si>
    <t>kg</t>
  </si>
  <si>
    <t xml:space="preserve">WheelBase </t>
  </si>
  <si>
    <t>mm</t>
  </si>
  <si>
    <t>Track Width</t>
  </si>
  <si>
    <t>CG_Height</t>
  </si>
  <si>
    <t>Weight Ratio_front</t>
  </si>
  <si>
    <t>Vertical Load Transfer on one wheel</t>
  </si>
  <si>
    <t>N</t>
  </si>
  <si>
    <t>Ride Rates</t>
  </si>
  <si>
    <t>Ride Frequency (input)</t>
  </si>
  <si>
    <t>Tire Rate (input)</t>
  </si>
  <si>
    <t>N/mm</t>
  </si>
  <si>
    <t xml:space="preserve">Wheel Center Rate </t>
  </si>
  <si>
    <t>Installation Ratio(input)</t>
  </si>
  <si>
    <t xml:space="preserve">Spring rate </t>
  </si>
  <si>
    <t xml:space="preserve">Roll Center Height </t>
  </si>
  <si>
    <t xml:space="preserve">Tire Static Loaded Radius </t>
  </si>
  <si>
    <t xml:space="preserve">Unsprung Mass </t>
  </si>
  <si>
    <t>Mass (Car plus Driver)-Sprung Mass</t>
  </si>
  <si>
    <t xml:space="preserve">Sprung Mass CG_height </t>
  </si>
  <si>
    <t xml:space="preserve">Rolling Moment Lever Arm </t>
  </si>
  <si>
    <t>Roll Gradient (input)</t>
  </si>
  <si>
    <t>deg/g</t>
  </si>
  <si>
    <t>Rolling Moment per g Lateral Acceleration</t>
  </si>
  <si>
    <t xml:space="preserve">Lateral Acceleration </t>
  </si>
  <si>
    <t>g</t>
  </si>
  <si>
    <t>N-mm/g</t>
  </si>
  <si>
    <t>N-mm/deg</t>
  </si>
  <si>
    <t xml:space="preserve">Spring Roll Rate </t>
  </si>
  <si>
    <t xml:space="preserve">Total Spring Roll Rate </t>
  </si>
  <si>
    <t xml:space="preserve">N-mm/deg </t>
  </si>
  <si>
    <t xml:space="preserve">Roll Rate Required </t>
  </si>
  <si>
    <t>Roll Rate using Stabilzing bar</t>
  </si>
  <si>
    <t>Total Load Transfer</t>
  </si>
  <si>
    <t>N/g</t>
  </si>
  <si>
    <t xml:space="preserve">Roll Stiffness Required </t>
  </si>
  <si>
    <t xml:space="preserve">Sprung Mass Load </t>
  </si>
  <si>
    <t xml:space="preserve">Unsprung Mass Load </t>
  </si>
  <si>
    <t>Roll Stifffness provided by Bar</t>
  </si>
  <si>
    <t>Ride Rate dur to bar</t>
  </si>
  <si>
    <t>Spring Rate by ARB to be Added</t>
  </si>
  <si>
    <t>Final Spring Rate</t>
  </si>
  <si>
    <t>Sag in Springs</t>
  </si>
  <si>
    <t>Remaining Spring Travel</t>
  </si>
  <si>
    <t>Wheel Rebound Due to Car weight</t>
  </si>
  <si>
    <t>Remaining Wheel Travel</t>
  </si>
  <si>
    <t>Iteration 2</t>
  </si>
  <si>
    <t xml:space="preserve">New Ride rate </t>
  </si>
  <si>
    <t xml:space="preserve">Final Wheel rate </t>
  </si>
  <si>
    <t>Final Spring Rate(due to spring)</t>
  </si>
  <si>
    <t xml:space="preserve">Sag in Springs </t>
  </si>
  <si>
    <t xml:space="preserve">Remaining Spring Travel </t>
  </si>
  <si>
    <t xml:space="preserve">Ride Freq Assumed </t>
  </si>
  <si>
    <t xml:space="preserve">Wheel Rate due to bar </t>
  </si>
  <si>
    <t>%</t>
  </si>
  <si>
    <t xml:space="preserve">Roll Angle </t>
  </si>
  <si>
    <t>Lateral G</t>
  </si>
  <si>
    <t xml:space="preserve">Front </t>
  </si>
  <si>
    <t xml:space="preserve">Rear </t>
  </si>
  <si>
    <t xml:space="preserve">Roll Stiffness Distribution </t>
  </si>
  <si>
    <t xml:space="preserve">Percent Roll Siffness </t>
  </si>
  <si>
    <t xml:space="preserve">Rolling Moment </t>
  </si>
  <si>
    <t xml:space="preserve">Roll Cneter Height </t>
  </si>
  <si>
    <t>Rolling Moment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</si>
</sst>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52529946914529"/>
          <c:y val="0.23882408929653026"/>
          <c:w val="0.8964746281714786"/>
          <c:h val="0.59793227769605717"/>
        </c:manualLayout>
      </c:layout>
      <c:lineChart>
        <c:grouping val="standard"/>
        <c:varyColors val="0"/>
        <c:ser>
          <c:idx val="0"/>
          <c:order val="0"/>
          <c:tx>
            <c:strRef>
              <c:f>Sheet1!$N$11:$N$12</c:f>
              <c:strCache>
                <c:ptCount val="2"/>
                <c:pt idx="0">
                  <c:v>Roll Angle </c:v>
                </c:pt>
                <c:pt idx="1">
                  <c:v>Front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Sheet1!$M$13:$M$20</c:f>
              <c:numCache>
                <c:formatCode>General</c:formatCode>
                <c:ptCount val="8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</c:numCache>
            </c:numRef>
          </c:cat>
          <c:val>
            <c:numRef>
              <c:f>Sheet1!$N$13:$N$20</c:f>
              <c:numCache>
                <c:formatCode>General</c:formatCode>
                <c:ptCount val="8"/>
                <c:pt idx="0">
                  <c:v>0.24727915317264584</c:v>
                </c:pt>
                <c:pt idx="1">
                  <c:v>1.1078746641713599</c:v>
                </c:pt>
                <c:pt idx="2">
                  <c:v>0.74183745951793756</c:v>
                </c:pt>
                <c:pt idx="3">
                  <c:v>0.98911661269058337</c:v>
                </c:pt>
                <c:pt idx="4">
                  <c:v>1.2363957658632292</c:v>
                </c:pt>
                <c:pt idx="5">
                  <c:v>1.4836749190358751</c:v>
                </c:pt>
                <c:pt idx="6">
                  <c:v>1.7309540722085208</c:v>
                </c:pt>
                <c:pt idx="7">
                  <c:v>1.9782332253811667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D-4261-90B1-A25CBC75F121}"/>
            </c:ext>
          </c:extLst>
        </c:ser>
        <c:ser>
          <c:idx val="1"/>
          <c:order val="1"/>
          <c:tx>
            <c:strRef>
              <c:f>Sheet1!$O$11:$O$12</c:f>
              <c:strCache>
                <c:ptCount val="2"/>
                <c:pt idx="0">
                  <c:v>Roll Angle </c:v>
                </c:pt>
                <c:pt idx="1">
                  <c:v>Rear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Sheet1!$M$13:$M$20</c:f>
              <c:numCache>
                <c:formatCode>General</c:formatCode>
                <c:ptCount val="8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</c:numCache>
            </c:numRef>
          </c:cat>
          <c:val>
            <c:numRef>
              <c:f>Sheet1!$O$13:$O$20</c:f>
              <c:numCache>
                <c:formatCode>General</c:formatCode>
                <c:ptCount val="8"/>
                <c:pt idx="0">
                  <c:v>0.42139318169692874</c:v>
                </c:pt>
                <c:pt idx="1">
                  <c:v>0.84278636339385748</c:v>
                </c:pt>
                <c:pt idx="2">
                  <c:v>1.2641795450907862</c:v>
                </c:pt>
                <c:pt idx="3">
                  <c:v>1.685572726787715</c:v>
                </c:pt>
                <c:pt idx="4">
                  <c:v>2.1069659084846437</c:v>
                </c:pt>
                <c:pt idx="5">
                  <c:v>2.5283590901815725</c:v>
                </c:pt>
                <c:pt idx="6">
                  <c:v>2.9497522718785012</c:v>
                </c:pt>
                <c:pt idx="7">
                  <c:v>3.3711454535754299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D-4261-90B1-A25CBC75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496591"/>
        <c:axId val="429495631"/>
      </c:lineChart>
      <c:catAx>
        <c:axId val="42949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  <a:p>
                <a:pPr>
                  <a:defRPr/>
                </a:pPr>
                <a:r>
                  <a:rPr lang="en-US"/>
                  <a:t>Lateral </a:t>
                </a:r>
                <a:r>
                  <a:rPr lang="en-US" baseline="0"/>
                  <a:t> acceleration (g)</a:t>
                </a:r>
              </a:p>
            </c:rich>
          </c:tx>
          <c:layout>
            <c:manualLayout>
              <c:xMode val="edge"/>
              <c:yMode val="edge"/>
              <c:x val="0.34254046369203855"/>
              <c:y val="0.872014652014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95631"/>
        <c:crosses val="autoZero"/>
        <c:auto val="1"/>
        <c:lblAlgn val="ctr"/>
        <c:lblOffset val="100"/>
        <c:noMultiLvlLbl val="0"/>
      </c:catAx>
      <c:valAx>
        <c:axId val="429495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Roll angle </a:t>
                </a:r>
              </a:p>
            </c:rich>
          </c:tx>
          <c:layout>
            <c:manualLayout>
              <c:xMode val="edge"/>
              <c:yMode val="edge"/>
              <c:x val="4.155730533683307E-5"/>
              <c:y val="0.42785440281503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9659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</xdr:colOff>
      <xdr:row>21</xdr:row>
      <xdr:rowOff>38100</xdr:rowOff>
    </xdr:from>
    <xdr:to>
      <xdr:col>16</xdr:col>
      <xdr:colOff>426720</xdr:colOff>
      <xdr:row>40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0B8DE4-4569-F6CA-0423-B84DF09A5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621F-1CAC-4C10-834F-F0554B2BCA0A}">
  <dimension ref="A3:O50"/>
  <sheetViews>
    <sheetView tabSelected="1" topLeftCell="A2" workbookViewId="0">
      <selection activeCell="E14" sqref="E14"/>
    </sheetView>
  </sheetViews>
  <sheetFormatPr defaultRowHeight="14.4" x14ac:dyDescent="0.3"/>
  <cols>
    <col min="1" max="1" width="5.21875" customWidth="1"/>
    <col min="2" max="2" width="35.109375" customWidth="1"/>
    <col min="3" max="3" width="18.109375" customWidth="1"/>
    <col min="4" max="4" width="14" customWidth="1"/>
    <col min="5" max="5" width="16" customWidth="1"/>
    <col min="6" max="6" width="13.33203125" customWidth="1"/>
    <col min="7" max="7" width="12.5546875" customWidth="1"/>
    <col min="8" max="8" width="11.5546875" customWidth="1"/>
    <col min="9" max="9" width="10.21875" customWidth="1"/>
    <col min="11" max="13" width="8.88671875" customWidth="1"/>
  </cols>
  <sheetData>
    <row r="3" spans="1:15" x14ac:dyDescent="0.3">
      <c r="A3" s="1" t="s">
        <v>0</v>
      </c>
      <c r="B3" s="1" t="s">
        <v>1</v>
      </c>
      <c r="C3" s="1" t="s">
        <v>6</v>
      </c>
      <c r="D3" s="1" t="s">
        <v>3</v>
      </c>
      <c r="E3" s="1" t="s">
        <v>4</v>
      </c>
      <c r="F3" s="1" t="s">
        <v>2</v>
      </c>
      <c r="G3" s="1"/>
      <c r="H3" s="1"/>
      <c r="I3" s="1"/>
    </row>
    <row r="4" spans="1:15" x14ac:dyDescent="0.3">
      <c r="A4">
        <v>1</v>
      </c>
      <c r="B4" t="s">
        <v>25</v>
      </c>
      <c r="C4">
        <v>250</v>
      </c>
      <c r="F4" t="s">
        <v>7</v>
      </c>
    </row>
    <row r="5" spans="1:15" x14ac:dyDescent="0.3">
      <c r="A5">
        <v>2</v>
      </c>
      <c r="B5" t="s">
        <v>8</v>
      </c>
      <c r="C5">
        <v>1550</v>
      </c>
      <c r="F5" t="s">
        <v>9</v>
      </c>
    </row>
    <row r="6" spans="1:15" x14ac:dyDescent="0.3">
      <c r="A6">
        <v>3</v>
      </c>
      <c r="B6" t="s">
        <v>10</v>
      </c>
      <c r="D6">
        <v>1350</v>
      </c>
      <c r="E6">
        <v>1250</v>
      </c>
      <c r="F6" t="s">
        <v>9</v>
      </c>
    </row>
    <row r="7" spans="1:15" x14ac:dyDescent="0.3">
      <c r="A7">
        <v>4</v>
      </c>
      <c r="B7" t="s">
        <v>11</v>
      </c>
      <c r="C7">
        <v>310</v>
      </c>
      <c r="F7" t="s">
        <v>9</v>
      </c>
    </row>
    <row r="8" spans="1:15" x14ac:dyDescent="0.3">
      <c r="A8">
        <v>5</v>
      </c>
      <c r="B8" t="s">
        <v>12</v>
      </c>
      <c r="D8">
        <v>0.45</v>
      </c>
      <c r="E8">
        <v>0.55000000000000004</v>
      </c>
    </row>
    <row r="9" spans="1:15" x14ac:dyDescent="0.3">
      <c r="A9">
        <v>6</v>
      </c>
      <c r="B9" t="s">
        <v>31</v>
      </c>
      <c r="C9">
        <v>1.5</v>
      </c>
      <c r="F9" t="s">
        <v>32</v>
      </c>
    </row>
    <row r="10" spans="1:15" x14ac:dyDescent="0.3">
      <c r="A10">
        <v>7</v>
      </c>
      <c r="B10" t="s">
        <v>22</v>
      </c>
      <c r="D10">
        <v>55</v>
      </c>
      <c r="E10">
        <v>85</v>
      </c>
      <c r="F10" t="s">
        <v>9</v>
      </c>
    </row>
    <row r="11" spans="1:15" x14ac:dyDescent="0.3">
      <c r="A11">
        <v>8</v>
      </c>
      <c r="B11" t="s">
        <v>24</v>
      </c>
      <c r="C11">
        <v>55</v>
      </c>
      <c r="F11" t="s">
        <v>7</v>
      </c>
      <c r="G11" t="s">
        <v>69</v>
      </c>
      <c r="I11" t="s">
        <v>70</v>
      </c>
      <c r="K11" t="s">
        <v>68</v>
      </c>
      <c r="M11" t="s">
        <v>63</v>
      </c>
      <c r="N11" t="s">
        <v>62</v>
      </c>
    </row>
    <row r="12" spans="1:15" x14ac:dyDescent="0.3">
      <c r="A12">
        <v>9</v>
      </c>
      <c r="B12" t="s">
        <v>23</v>
      </c>
      <c r="C12">
        <v>229</v>
      </c>
      <c r="F12" t="s">
        <v>9</v>
      </c>
      <c r="G12" s="1" t="s">
        <v>64</v>
      </c>
      <c r="H12" s="1" t="s">
        <v>65</v>
      </c>
      <c r="I12" s="1" t="s">
        <v>64</v>
      </c>
      <c r="J12" s="1" t="s">
        <v>4</v>
      </c>
      <c r="K12" s="1" t="s">
        <v>64</v>
      </c>
      <c r="L12" s="1" t="s">
        <v>65</v>
      </c>
      <c r="N12" s="1" t="s">
        <v>64</v>
      </c>
      <c r="O12" s="1" t="s">
        <v>65</v>
      </c>
    </row>
    <row r="13" spans="1:15" x14ac:dyDescent="0.3">
      <c r="A13">
        <v>10</v>
      </c>
      <c r="B13" t="s">
        <v>43</v>
      </c>
      <c r="D13">
        <f>C4*D8*9.81</f>
        <v>1103.625</v>
      </c>
      <c r="E13">
        <f>C4*9.81-D13</f>
        <v>1348.875</v>
      </c>
      <c r="F13" t="s">
        <v>14</v>
      </c>
      <c r="K13">
        <f>C25*M13*D8</f>
        <v>37717.488000000005</v>
      </c>
      <c r="L13">
        <f>C25*E8*M13</f>
        <v>46099.152000000009</v>
      </c>
      <c r="M13">
        <v>0.2</v>
      </c>
      <c r="N13">
        <f>K13/D49</f>
        <v>0.24727915317264584</v>
      </c>
      <c r="O13">
        <f>L13/E49</f>
        <v>0.42139318169692874</v>
      </c>
    </row>
    <row r="14" spans="1:15" x14ac:dyDescent="0.3">
      <c r="A14">
        <v>11</v>
      </c>
      <c r="B14" t="s">
        <v>44</v>
      </c>
      <c r="D14">
        <f>C11*D8*9.81</f>
        <v>242.79750000000001</v>
      </c>
      <c r="E14">
        <f>C11*9.81-D14</f>
        <v>296.75250000000005</v>
      </c>
      <c r="F14" t="s">
        <v>14</v>
      </c>
      <c r="G14">
        <v>50.41</v>
      </c>
      <c r="I14">
        <f>C22-(G14+(E10-G14)*(1-D8))</f>
        <v>258.38549999999998</v>
      </c>
      <c r="K14">
        <f>(I14*C4*9.81/C9)*M14</f>
        <v>168984.117</v>
      </c>
      <c r="L14">
        <f>C25*E8*M14</f>
        <v>92198.304000000018</v>
      </c>
      <c r="M14">
        <v>0.4</v>
      </c>
      <c r="N14">
        <f>K14/D49</f>
        <v>1.1078746641713599</v>
      </c>
      <c r="O14">
        <f>L14/E49</f>
        <v>0.84278636339385748</v>
      </c>
    </row>
    <row r="15" spans="1:15" x14ac:dyDescent="0.3">
      <c r="A15">
        <v>12</v>
      </c>
      <c r="B15" t="s">
        <v>13</v>
      </c>
      <c r="D15">
        <f>C4*D8*9.81/2</f>
        <v>551.8125</v>
      </c>
      <c r="E15">
        <f>C4*(1-D8)*9.81/2</f>
        <v>674.4375</v>
      </c>
      <c r="F15" t="s">
        <v>14</v>
      </c>
      <c r="K15">
        <f>C25*M15*D8</f>
        <v>113152.46399999999</v>
      </c>
      <c r="L15">
        <f>C25*E8*M15</f>
        <v>138297.45600000001</v>
      </c>
      <c r="M15">
        <v>0.6</v>
      </c>
      <c r="N15">
        <f>N13*3</f>
        <v>0.74183745951793756</v>
      </c>
      <c r="O15">
        <f>O13*3</f>
        <v>1.2641795450907862</v>
      </c>
    </row>
    <row r="16" spans="1:15" x14ac:dyDescent="0.3">
      <c r="A16">
        <v>13</v>
      </c>
      <c r="B16" t="s">
        <v>16</v>
      </c>
      <c r="D16">
        <v>2</v>
      </c>
      <c r="E16">
        <v>1.8</v>
      </c>
      <c r="F16" t="s">
        <v>5</v>
      </c>
      <c r="G16">
        <v>49.53</v>
      </c>
      <c r="I16">
        <f>C22-(G16+(E10-G16)*(1-D8))</f>
        <v>258.78149999999999</v>
      </c>
      <c r="K16">
        <f>K13*4</f>
        <v>150869.95200000002</v>
      </c>
      <c r="L16">
        <f>L13*4</f>
        <v>184396.60800000004</v>
      </c>
      <c r="M16">
        <v>0.8</v>
      </c>
      <c r="N16">
        <f>N13*4</f>
        <v>0.98911661269058337</v>
      </c>
      <c r="O16">
        <f>O13*4</f>
        <v>1.685572726787715</v>
      </c>
    </row>
    <row r="17" spans="1:15" x14ac:dyDescent="0.3">
      <c r="A17">
        <v>14</v>
      </c>
      <c r="B17" t="s">
        <v>15</v>
      </c>
      <c r="D17">
        <f>4*(3.14)^2*(D16)^2*D15/9.81/1000</f>
        <v>8.87364</v>
      </c>
      <c r="E17">
        <f>4*(3.14)^2*(E16)^2*E15/9.81/1000</f>
        <v>8.7849036000000016</v>
      </c>
      <c r="F17" t="s">
        <v>18</v>
      </c>
      <c r="K17">
        <f>K13*5</f>
        <v>188587.44000000003</v>
      </c>
      <c r="L17">
        <f>L13*5</f>
        <v>230495.76000000004</v>
      </c>
      <c r="M17">
        <v>1</v>
      </c>
      <c r="N17">
        <f>N13*5</f>
        <v>1.2363957658632292</v>
      </c>
      <c r="O17">
        <f>O13*5</f>
        <v>2.1069659084846437</v>
      </c>
    </row>
    <row r="18" spans="1:15" x14ac:dyDescent="0.3">
      <c r="A18">
        <v>15</v>
      </c>
      <c r="B18" t="s">
        <v>17</v>
      </c>
      <c r="C18">
        <v>250</v>
      </c>
      <c r="F18" t="s">
        <v>18</v>
      </c>
      <c r="K18">
        <f>K13*6</f>
        <v>226304.92800000001</v>
      </c>
      <c r="L18">
        <f>L13*6</f>
        <v>276594.91200000007</v>
      </c>
      <c r="M18">
        <v>1.2</v>
      </c>
      <c r="N18">
        <f>N13*6</f>
        <v>1.4836749190358751</v>
      </c>
      <c r="O18">
        <f>O13*6</f>
        <v>2.5283590901815725</v>
      </c>
    </row>
    <row r="19" spans="1:15" x14ac:dyDescent="0.3">
      <c r="A19">
        <v>16</v>
      </c>
      <c r="B19" t="s">
        <v>19</v>
      </c>
      <c r="D19">
        <f>(D17*C18)/(C18-D17)</f>
        <v>9.2001969423832382</v>
      </c>
      <c r="E19">
        <f>(E17*C18)/(C18-E17)</f>
        <v>9.1048443185250019</v>
      </c>
      <c r="F19" t="s">
        <v>18</v>
      </c>
      <c r="K19">
        <f>K13*7</f>
        <v>264022.41600000003</v>
      </c>
      <c r="L19">
        <f>L13*7</f>
        <v>322694.06400000007</v>
      </c>
      <c r="M19">
        <v>1.4</v>
      </c>
      <c r="N19">
        <f>N13*7</f>
        <v>1.7309540722085208</v>
      </c>
      <c r="O19">
        <f>O13*7</f>
        <v>2.9497522718785012</v>
      </c>
    </row>
    <row r="20" spans="1:15" x14ac:dyDescent="0.3">
      <c r="A20">
        <v>17</v>
      </c>
      <c r="B20" t="s">
        <v>20</v>
      </c>
      <c r="D20">
        <v>0.7</v>
      </c>
      <c r="E20">
        <v>0.7</v>
      </c>
      <c r="K20">
        <f>K13*8</f>
        <v>301739.90400000004</v>
      </c>
      <c r="L20">
        <f>L13*8</f>
        <v>368793.21600000007</v>
      </c>
      <c r="M20">
        <v>1.6</v>
      </c>
      <c r="N20">
        <f>N13*8</f>
        <v>1.9782332253811667</v>
      </c>
      <c r="O20">
        <f>O13*8</f>
        <v>3.3711454535754299</v>
      </c>
    </row>
    <row r="21" spans="1:15" x14ac:dyDescent="0.3">
      <c r="A21">
        <v>18</v>
      </c>
      <c r="B21" t="s">
        <v>21</v>
      </c>
      <c r="D21">
        <f>D19/(D20)^2</f>
        <v>18.775912127312733</v>
      </c>
      <c r="E21">
        <f>E19/(E20)^2</f>
        <v>18.581314935765313</v>
      </c>
      <c r="F21" t="s">
        <v>18</v>
      </c>
    </row>
    <row r="22" spans="1:15" x14ac:dyDescent="0.3">
      <c r="A22">
        <v>19</v>
      </c>
      <c r="B22" t="s">
        <v>26</v>
      </c>
      <c r="C22">
        <f>((C4+C11)*C7-C11*C12)/C4</f>
        <v>327.82</v>
      </c>
      <c r="F22" t="s">
        <v>9</v>
      </c>
    </row>
    <row r="23" spans="1:15" x14ac:dyDescent="0.3">
      <c r="A23">
        <v>20</v>
      </c>
      <c r="B23" t="s">
        <v>27</v>
      </c>
      <c r="C23">
        <f>C22-(D10+(E10-D10)*(1-D8))</f>
        <v>256.32</v>
      </c>
      <c r="F23" t="s">
        <v>9</v>
      </c>
    </row>
    <row r="24" spans="1:15" x14ac:dyDescent="0.3">
      <c r="A24">
        <v>21</v>
      </c>
      <c r="B24" t="s">
        <v>28</v>
      </c>
      <c r="C24">
        <v>-1.6</v>
      </c>
      <c r="F24" t="s">
        <v>29</v>
      </c>
    </row>
    <row r="25" spans="1:15" x14ac:dyDescent="0.3">
      <c r="A25">
        <v>22</v>
      </c>
      <c r="B25" t="s">
        <v>30</v>
      </c>
      <c r="C25">
        <f>C23*C4*9.81/C9</f>
        <v>419083.2</v>
      </c>
      <c r="F25" t="s">
        <v>33</v>
      </c>
    </row>
    <row r="26" spans="1:15" x14ac:dyDescent="0.3">
      <c r="A26">
        <v>23</v>
      </c>
      <c r="B26" t="s">
        <v>38</v>
      </c>
      <c r="C26">
        <f>-C25/C24</f>
        <v>261927</v>
      </c>
      <c r="F26" t="s">
        <v>34</v>
      </c>
    </row>
    <row r="27" spans="1:15" x14ac:dyDescent="0.3">
      <c r="A27">
        <v>24</v>
      </c>
      <c r="B27" t="s">
        <v>35</v>
      </c>
      <c r="D27">
        <f>(D17*(D6)^2)/(2*57.296)</f>
        <v>141128.60321837477</v>
      </c>
      <c r="E27">
        <f>(E17*(E6)^2)/(2*57.296)</f>
        <v>119785.07989213908</v>
      </c>
      <c r="F27" t="s">
        <v>34</v>
      </c>
    </row>
    <row r="28" spans="1:15" x14ac:dyDescent="0.3">
      <c r="A28">
        <v>25</v>
      </c>
      <c r="B28" t="s">
        <v>36</v>
      </c>
      <c r="C28">
        <f>D27+E27</f>
        <v>260913.68311051384</v>
      </c>
      <c r="F28" t="s">
        <v>37</v>
      </c>
    </row>
    <row r="29" spans="1:15" x14ac:dyDescent="0.3">
      <c r="A29">
        <v>26</v>
      </c>
      <c r="B29" t="s">
        <v>39</v>
      </c>
      <c r="C29">
        <f>C26-C28</f>
        <v>1013.3168894861592</v>
      </c>
      <c r="F29" t="s">
        <v>37</v>
      </c>
    </row>
    <row r="30" spans="1:15" x14ac:dyDescent="0.3">
      <c r="A30">
        <v>27</v>
      </c>
      <c r="B30" t="s">
        <v>40</v>
      </c>
      <c r="C30">
        <f>(C4*9.81*C7*C9)/((D6+E6)/2)</f>
        <v>877.24038461538464</v>
      </c>
      <c r="D30">
        <f>C30*D8</f>
        <v>394.75817307692307</v>
      </c>
      <c r="E30">
        <f>C30-D30</f>
        <v>482.48221153846157</v>
      </c>
      <c r="F30" t="s">
        <v>41</v>
      </c>
    </row>
    <row r="31" spans="1:15" x14ac:dyDescent="0.3">
      <c r="A31">
        <v>28</v>
      </c>
      <c r="B31" t="s">
        <v>42</v>
      </c>
      <c r="D31">
        <f>-((D30/C9)*D6-(D13*G14+D14*C12))/C24</f>
        <v>152529.99501201921</v>
      </c>
      <c r="F31" t="s">
        <v>34</v>
      </c>
    </row>
    <row r="32" spans="1:15" x14ac:dyDescent="0.3">
      <c r="A32">
        <v>29</v>
      </c>
      <c r="B32" t="s">
        <v>45</v>
      </c>
      <c r="D32">
        <f>D31-D27</f>
        <v>11401.391793644434</v>
      </c>
      <c r="E32">
        <f>C26-D31-E27</f>
        <v>-10388.074904158289</v>
      </c>
      <c r="F32" t="s">
        <v>34</v>
      </c>
    </row>
    <row r="33" spans="1:6" x14ac:dyDescent="0.3">
      <c r="A33">
        <v>30</v>
      </c>
      <c r="B33" t="s">
        <v>46</v>
      </c>
      <c r="D33">
        <f>D32*2*57.296/(D6)^2</f>
        <v>0.71687697581196319</v>
      </c>
      <c r="E33">
        <f>E32*2*57.296/(E6)^2</f>
        <v>-0.76184977882707627</v>
      </c>
      <c r="F33" t="s">
        <v>18</v>
      </c>
    </row>
    <row r="34" spans="1:6" x14ac:dyDescent="0.3">
      <c r="A34">
        <v>31</v>
      </c>
      <c r="B34" t="s">
        <v>60</v>
      </c>
      <c r="D34">
        <f>(D33*C18)/(C18-D33)</f>
        <v>0.71893853775091343</v>
      </c>
      <c r="E34">
        <f>(E33*C18)/(C18-E33)</f>
        <v>-0.75953517201582976</v>
      </c>
    </row>
    <row r="35" spans="1:6" x14ac:dyDescent="0.3">
      <c r="A35">
        <v>32</v>
      </c>
      <c r="B35" t="s">
        <v>47</v>
      </c>
      <c r="D35">
        <f>D34/(D20)^2</f>
        <v>1.4672215056141091</v>
      </c>
      <c r="E35">
        <f>E34/(E20)^2</f>
        <v>-1.5500717796241426</v>
      </c>
      <c r="F35" t="s">
        <v>18</v>
      </c>
    </row>
    <row r="36" spans="1:6" x14ac:dyDescent="0.3">
      <c r="A36">
        <v>33</v>
      </c>
      <c r="B36" s="1" t="s">
        <v>48</v>
      </c>
      <c r="D36">
        <f>D35+D21</f>
        <v>20.243133632926842</v>
      </c>
      <c r="E36">
        <f>E35+E21</f>
        <v>17.031243156141169</v>
      </c>
      <c r="F36" t="s">
        <v>18</v>
      </c>
    </row>
    <row r="37" spans="1:6" x14ac:dyDescent="0.3">
      <c r="A37">
        <v>34</v>
      </c>
      <c r="B37" t="s">
        <v>49</v>
      </c>
      <c r="D37">
        <f>(D13/2)/D36</f>
        <v>27.259243060196926</v>
      </c>
      <c r="E37">
        <f>(E13/2)/E36</f>
        <v>39.600015912919993</v>
      </c>
      <c r="F37" t="s">
        <v>18</v>
      </c>
    </row>
    <row r="38" spans="1:6" x14ac:dyDescent="0.3">
      <c r="A38">
        <v>35</v>
      </c>
      <c r="B38" t="s">
        <v>50</v>
      </c>
      <c r="D38">
        <f>47-D37</f>
        <v>19.740756939803074</v>
      </c>
      <c r="E38">
        <f>47-E37</f>
        <v>7.3999840870800071</v>
      </c>
      <c r="F38" t="s">
        <v>9</v>
      </c>
    </row>
    <row r="39" spans="1:6" x14ac:dyDescent="0.3">
      <c r="A39">
        <v>36</v>
      </c>
      <c r="B39" t="s">
        <v>51</v>
      </c>
      <c r="D39">
        <f>D37/D20</f>
        <v>38.941775800281327</v>
      </c>
      <c r="E39">
        <f>E37/E20</f>
        <v>56.571451304171426</v>
      </c>
      <c r="F39" t="s">
        <v>9</v>
      </c>
    </row>
    <row r="40" spans="1:6" x14ac:dyDescent="0.3">
      <c r="A40">
        <v>37</v>
      </c>
      <c r="B40" t="s">
        <v>52</v>
      </c>
      <c r="D40">
        <f>D38/D20</f>
        <v>28.201081342575822</v>
      </c>
      <c r="E40">
        <f>E38/E20</f>
        <v>10.571405838685726</v>
      </c>
      <c r="F40" t="s">
        <v>9</v>
      </c>
    </row>
    <row r="42" spans="1:6" x14ac:dyDescent="0.3">
      <c r="B42" s="1" t="s">
        <v>53</v>
      </c>
    </row>
    <row r="43" spans="1:6" x14ac:dyDescent="0.3">
      <c r="A43">
        <v>38</v>
      </c>
      <c r="B43" t="s">
        <v>54</v>
      </c>
      <c r="D43">
        <f>D33+D17</f>
        <v>9.5905169758119637</v>
      </c>
      <c r="E43">
        <f>E33+E17</f>
        <v>8.0230538211729261</v>
      </c>
      <c r="F43" t="s">
        <v>18</v>
      </c>
    </row>
    <row r="44" spans="1:6" x14ac:dyDescent="0.3">
      <c r="A44">
        <v>39</v>
      </c>
      <c r="B44" s="1" t="s">
        <v>59</v>
      </c>
    </row>
    <row r="45" spans="1:6" x14ac:dyDescent="0.3">
      <c r="A45">
        <v>40</v>
      </c>
      <c r="B45" t="s">
        <v>55</v>
      </c>
      <c r="D45">
        <f>(D43*C18)/(C18-D43)</f>
        <v>9.9731059432117384</v>
      </c>
      <c r="E45">
        <f>(E43*C18)/(C18-E43)</f>
        <v>8.2890683884030913</v>
      </c>
      <c r="F45" t="s">
        <v>18</v>
      </c>
    </row>
    <row r="46" spans="1:6" x14ac:dyDescent="0.3">
      <c r="A46">
        <v>41</v>
      </c>
      <c r="B46" s="1" t="s">
        <v>56</v>
      </c>
      <c r="D46">
        <f>D45/(D20)^2</f>
        <v>20.353277435126</v>
      </c>
      <c r="E46">
        <f>E45/(E20)^2</f>
        <v>16.916466098781822</v>
      </c>
      <c r="F46" t="s">
        <v>18</v>
      </c>
    </row>
    <row r="47" spans="1:6" x14ac:dyDescent="0.3">
      <c r="A47">
        <v>40</v>
      </c>
      <c r="B47" t="s">
        <v>57</v>
      </c>
      <c r="D47">
        <f>(D13/2)/D46</f>
        <v>27.111726932374708</v>
      </c>
      <c r="E47">
        <f>(E13/2)/E46</f>
        <v>39.868699293439732</v>
      </c>
      <c r="F47" t="s">
        <v>9</v>
      </c>
    </row>
    <row r="48" spans="1:6" x14ac:dyDescent="0.3">
      <c r="A48">
        <v>41</v>
      </c>
      <c r="B48" s="1" t="s">
        <v>58</v>
      </c>
      <c r="D48">
        <f>47-D47</f>
        <v>19.888273067625292</v>
      </c>
      <c r="E48">
        <f>47-E47</f>
        <v>7.1313007065602676</v>
      </c>
      <c r="F48" t="s">
        <v>9</v>
      </c>
    </row>
    <row r="49" spans="1:6" x14ac:dyDescent="0.3">
      <c r="A49">
        <v>42</v>
      </c>
      <c r="B49" t="s">
        <v>66</v>
      </c>
      <c r="D49">
        <f>D27+D32</f>
        <v>152529.99501201921</v>
      </c>
      <c r="E49">
        <f>E27+E32</f>
        <v>109397.00498798079</v>
      </c>
      <c r="F49" t="s">
        <v>34</v>
      </c>
    </row>
    <row r="50" spans="1:6" x14ac:dyDescent="0.3">
      <c r="A50">
        <v>43</v>
      </c>
      <c r="B50" s="1" t="s">
        <v>67</v>
      </c>
      <c r="D50">
        <f>D49*100/(D49+E49)</f>
        <v>58.233780790838367</v>
      </c>
      <c r="E50">
        <f>100-D50</f>
        <v>41.766219209161633</v>
      </c>
      <c r="F50" t="s">
        <v>61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CHAUHAN</dc:creator>
  <cp:lastModifiedBy>Vibhav Manikpuri</cp:lastModifiedBy>
  <cp:lastPrinted>2026-06-25T05:25:56Z</cp:lastPrinted>
  <dcterms:created xsi:type="dcterms:W3CDTF">2025-07-16T18:26:54Z</dcterms:created>
  <dcterms:modified xsi:type="dcterms:W3CDTF">2026-06-25T05:29:47Z</dcterms:modified>
</cp:coreProperties>
</file>